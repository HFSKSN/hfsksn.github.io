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ksnha\Documents\Courses\EGR 314\"/>
    </mc:Choice>
  </mc:AlternateContent>
  <xr:revisionPtr revIDLastSave="0" documentId="13_ncr:1_{8836AD13-65BD-4427-AB81-760D13D41C13}" xr6:coauthVersionLast="47" xr6:coauthVersionMax="47" xr10:uidLastSave="{00000000-0000-0000-0000-000000000000}"/>
  <bookViews>
    <workbookView xWindow="-120" yWindow="-120" windowWidth="38640" windowHeight="2184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4" i="1" l="1"/>
  <c r="G47" i="1"/>
  <c r="G39" i="1"/>
  <c r="G31" i="1"/>
  <c r="G50" i="1"/>
  <c r="G15" i="1"/>
  <c r="G14" i="1"/>
  <c r="G10" i="1"/>
  <c r="G22" i="1"/>
  <c r="G42" i="1"/>
  <c r="G9" i="1"/>
  <c r="G17" i="1"/>
  <c r="G16" i="1"/>
  <c r="G55" i="1" l="1"/>
  <c r="G34" i="1"/>
  <c r="G18" i="1"/>
  <c r="G20" i="1" s="1"/>
  <c r="G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<sst xmlns="http://schemas.openxmlformats.org/spreadsheetml/2006/main" count="136" uniqueCount="66">
  <si>
    <t>Team Number:</t>
  </si>
  <si>
    <t>Project Name:</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</si>
  <si>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</si>
  <si>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</si>
  <si>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</si>
  <si>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</si>
  <si>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</si>
  <si>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</si>
  <si>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</si>
  <si>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</si>
  <si>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</si>
  <si>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</si>
  <si>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(full part number)</t>
  </si>
  <si>
    <t>mA</t>
  </si>
  <si>
    <t>B. Assign each major component above to ONE power rail below. Try to minimize the number of different power rails in the design. 
Add additional power rails or change the power rail voltages if needed.</t>
  </si>
  <si>
    <t xml:space="preserve">Subtotal </t>
  </si>
  <si>
    <t>Safety Margin</t>
  </si>
  <si>
    <t xml:space="preserve"> +3.3V Power Rail</t>
  </si>
  <si>
    <t>Total Current Required on +3.3V Rail</t>
  </si>
  <si>
    <t>c4. Regulator or Source Choice</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</si>
  <si>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</si>
  <si>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</si>
  <si>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</si>
  <si>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</si>
  <si>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</si>
  <si>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</si>
  <si>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</si>
  <si>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</si>
  <si>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</si>
  <si>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External Power Source 2</t>
  </si>
  <si>
    <t>Power Source 2 Selection</t>
  </si>
  <si>
    <t>Battery</t>
  </si>
  <si>
    <t xml:space="preserve"> +9V</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</si>
  <si>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</si>
  <si>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</si>
  <si>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</si>
  <si>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</si>
  <si>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</si>
  <si>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 xml:space="preserve"> +12V</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</si>
  <si>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</si>
  <si>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</si>
  <si>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</si>
  <si>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</si>
  <si>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</si>
  <si>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Power Budget</t>
  </si>
  <si>
    <t>Team 201</t>
  </si>
  <si>
    <t>Drone Boat</t>
  </si>
  <si>
    <t>Hafsa Kaysan</t>
  </si>
  <si>
    <t>Team Member Name:</t>
  </si>
  <si>
    <t>v1</t>
  </si>
  <si>
    <t>ESP32</t>
  </si>
  <si>
    <t xml:space="preserve"> +3 - 3.6V</t>
  </si>
  <si>
    <t>MPU-6050</t>
  </si>
  <si>
    <t>ESP32-S3-WROOM-1-N4</t>
  </si>
  <si>
    <t>3.3V Regulator</t>
  </si>
  <si>
    <t>LM2575D2T-3.3R4G</t>
  </si>
  <si>
    <t xml:space="preserve"> +4.75V - 40V</t>
  </si>
  <si>
    <t xml:space="preserve"> +3 - 5V</t>
  </si>
  <si>
    <t>USB</t>
  </si>
  <si>
    <t>USB3131-30-0230-A</t>
  </si>
  <si>
    <t xml:space="preserve"> +30V</t>
  </si>
  <si>
    <t>-5V</t>
  </si>
  <si>
    <t>Battery (shared)</t>
  </si>
  <si>
    <t>-12V</t>
  </si>
  <si>
    <t>120VAC</t>
  </si>
  <si>
    <t>BK-12W-T8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</si>
</sst>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
      <sz val="12"/>
      <color rgb="FF000000"/>
      <name val="Calibri"/>
      <family val="2"/>
    </font>
    <font>
      <b/>
      <sz val="12"/>
      <color rgb="FF000000"/>
      <name val="Arial"/>
      <family val="2"/>
    </font>
    <font>
      <sz val="12"/>
      <name val="Calibri"/>
      <family val="2"/>
    </font>
    <font>
      <sz val="12"/>
      <color rgb="FF000000"/>
      <name val="Arial"/>
      <family val="2"/>
    </font>
    <font>
      <b/>
      <i/>
      <sz val="12"/>
      <color rgb="FF000000"/>
      <name val="Arial"/>
      <family val="2"/>
    </font>
    <font>
      <sz val="11"/>
      <color rgb="FF333333"/>
      <name val="Arial"/>
      <family val="2"/>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83">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0" fontId="2" fillId="0" borderId="8" xfId="0" applyFont="1" applyBorder="1"/>
    <xf numFmtId="0" fontId="4" fillId="0" borderId="0" xfId="0" applyFont="1" applyAlignment="1">
      <alignment horizontal="center"/>
    </xf>
    <xf numFmtId="0" fontId="2" fillId="0" borderId="9" xfId="0" applyFont="1" applyBorder="1"/>
    <xf numFmtId="0" fontId="5" fillId="3" borderId="10" xfId="0" applyFont="1" applyFill="1" applyBorder="1"/>
    <xf numFmtId="0" fontId="7" fillId="0" borderId="0" xfId="0" applyFont="1" applyAlignment="1">
      <alignment horizontal="right"/>
    </xf>
    <xf numFmtId="9" fontId="0" fillId="0" borderId="9" xfId="0" applyNumberForma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49" fontId="5" fillId="0" borderId="12" xfId="0" applyNumberFormat="1" applyFont="1" applyBorder="1" applyAlignment="1">
      <alignment horizontal="right"/>
    </xf>
    <xf numFmtId="0" fontId="4" fillId="3" borderId="1" xfId="0" applyFont="1" applyFill="1" applyBorder="1" applyAlignment="1">
      <alignment horizontal="center"/>
    </xf>
    <xf numFmtId="49" fontId="5" fillId="0" borderId="0" xfId="0" applyNumberFormat="1" applyFont="1" applyAlignment="1">
      <alignment horizontal="right"/>
    </xf>
    <xf numFmtId="0" fontId="5" fillId="0" borderId="8" xfId="0" applyFont="1" applyBorder="1" applyAlignment="1">
      <alignment wrapText="1"/>
    </xf>
    <xf numFmtId="0" fontId="5" fillId="0" borderId="0" xfId="0" applyFont="1" applyAlignment="1">
      <alignment wrapText="1"/>
    </xf>
    <xf numFmtId="0" fontId="5" fillId="0" borderId="8" xfId="0" applyFont="1" applyBorder="1"/>
    <xf numFmtId="0" fontId="5" fillId="0" borderId="9" xfId="0" applyFont="1" applyBorder="1"/>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4" xfId="0" applyFont="1" applyBorder="1" applyAlignment="1">
      <alignment horizontal="left"/>
    </xf>
    <xf numFmtId="0" fontId="4" fillId="0" borderId="8" xfId="0" applyFont="1" applyBorder="1" applyAlignment="1">
      <alignment horizontal="center"/>
    </xf>
    <xf numFmtId="0" fontId="6" fillId="0" borderId="14" xfId="0" applyFont="1" applyBorder="1"/>
    <xf numFmtId="0" fontId="4" fillId="0" borderId="9" xfId="0" applyFont="1" applyBorder="1" applyAlignment="1">
      <alignment horizontal="center"/>
    </xf>
    <xf numFmtId="0" fontId="4" fillId="0" borderId="14" xfId="0" applyFont="1" applyBorder="1" applyAlignment="1">
      <alignment horizontal="center"/>
    </xf>
    <xf numFmtId="0" fontId="7" fillId="2" borderId="1" xfId="0" applyFont="1" applyFill="1" applyBorder="1"/>
    <xf numFmtId="0" fontId="2" fillId="3" borderId="8" xfId="0" applyFont="1" applyFill="1" applyBorder="1"/>
    <xf numFmtId="0" fontId="2" fillId="3" borderId="16" xfId="0" applyFont="1" applyFill="1" applyBorder="1"/>
    <xf numFmtId="0" fontId="4" fillId="3" borderId="17" xfId="0" applyFont="1" applyFill="1" applyBorder="1" applyAlignment="1">
      <alignment horizontal="center"/>
    </xf>
    <xf numFmtId="0" fontId="4" fillId="3" borderId="18" xfId="0" applyFont="1" applyFill="1" applyBorder="1" applyAlignment="1">
      <alignment horizontal="center"/>
    </xf>
    <xf numFmtId="0" fontId="2" fillId="3" borderId="9" xfId="0" applyFont="1" applyFill="1" applyBorder="1"/>
    <xf numFmtId="0" fontId="0" fillId="2" borderId="0" xfId="0" applyFill="1"/>
    <xf numFmtId="0" fontId="9" fillId="0" borderId="1" xfId="0" applyFont="1" applyBorder="1"/>
    <xf numFmtId="0" fontId="10" fillId="0" borderId="1" xfId="0" applyFont="1" applyBorder="1"/>
    <xf numFmtId="0" fontId="11" fillId="0" borderId="1" xfId="0" applyFont="1" applyBorder="1"/>
    <xf numFmtId="0" fontId="9" fillId="0" borderId="0" xfId="0" applyFont="1"/>
    <xf numFmtId="49" fontId="5" fillId="0" borderId="13" xfId="0" applyNumberFormat="1" applyFont="1" applyBorder="1" applyAlignment="1">
      <alignment horizontal="right"/>
    </xf>
    <xf numFmtId="0" fontId="12" fillId="0" borderId="0" xfId="0" applyFont="1" applyAlignment="1">
      <alignment horizontal="center"/>
    </xf>
    <xf numFmtId="0" fontId="12" fillId="0" borderId="0" xfId="0" applyFont="1"/>
    <xf numFmtId="0" fontId="13" fillId="3" borderId="10" xfId="0" applyFont="1" applyFill="1" applyBorder="1"/>
    <xf numFmtId="0" fontId="12" fillId="0" borderId="0" xfId="0" applyFont="1" applyAlignment="1">
      <alignment horizontal="left"/>
    </xf>
    <xf numFmtId="0" fontId="12" fillId="0" borderId="0" xfId="0" quotePrefix="1" applyFont="1" applyAlignment="1">
      <alignment horizontal="center"/>
    </xf>
    <xf numFmtId="0" fontId="12" fillId="0" borderId="0" xfId="0" applyFont="1" applyAlignment="1">
      <alignment horizontal="right"/>
    </xf>
    <xf numFmtId="0" fontId="14" fillId="0" borderId="0" xfId="0" applyFont="1"/>
    <xf numFmtId="0" fontId="4" fillId="0" borderId="8" xfId="0" applyFont="1" applyBorder="1" applyAlignment="1">
      <alignment horizontal="left" vertical="center" wrapText="1"/>
    </xf>
    <xf numFmtId="49" fontId="5" fillId="0" borderId="12" xfId="0" applyNumberFormat="1" applyFont="1" applyBorder="1" applyAlignment="1">
      <alignment horizontal="right"/>
    </xf>
    <xf numFmtId="49" fontId="5" fillId="0" borderId="13" xfId="0" applyNumberFormat="1" applyFont="1" applyBorder="1" applyAlignment="1">
      <alignment horizontal="right"/>
    </xf>
    <xf numFmtId="0" fontId="5" fillId="0" borderId="11" xfId="0" applyFont="1" applyBorder="1" applyAlignment="1">
      <alignment wrapText="1"/>
    </xf>
    <xf numFmtId="0" fontId="3" fillId="0" borderId="12" xfId="0" applyFont="1" applyBorder="1"/>
    <xf numFmtId="0" fontId="3" fillId="0" borderId="13" xfId="0" applyFont="1" applyBorder="1"/>
    <xf numFmtId="0" fontId="6" fillId="0" borderId="0" xfId="0" applyFont="1" applyAlignment="1">
      <alignment wrapText="1"/>
    </xf>
    <xf numFmtId="0" fontId="8" fillId="4" borderId="0" xfId="0" applyFont="1" applyFill="1" applyAlignment="1">
      <alignment horizontal="left" wrapText="1"/>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3" fillId="0" borderId="8" xfId="0" applyFont="1" applyBorder="1"/>
    <xf numFmtId="49" fontId="5" fillId="0" borderId="0" xfId="0" applyNumberFormat="1" applyFont="1" applyAlignment="1">
      <alignment horizontal="right"/>
    </xf>
    <xf numFmtId="0" fontId="5" fillId="2" borderId="10" xfId="0" applyFont="1" applyFill="1" applyBorder="1" applyAlignment="1">
      <alignment wrapText="1"/>
    </xf>
    <xf numFmtId="0" fontId="5" fillId="2" borderId="15" xfId="0" applyFont="1" applyFill="1" applyBorder="1" applyAlignment="1">
      <alignment wrapText="1"/>
    </xf>
    <xf numFmtId="0" fontId="5" fillId="2" borderId="4" xfId="0" applyFont="1" applyFill="1" applyBorder="1" applyAlignment="1">
      <alignment wrapText="1"/>
    </xf>
    <xf numFmtId="0" fontId="5" fillId="2" borderId="0" xfId="0" applyFont="1" applyFill="1"/>
    <xf numFmtId="0" fontId="7" fillId="0" borderId="0" xfId="0" applyFont="1" applyAlignment="1">
      <alignment horizontal="right"/>
    </xf>
    <xf numFmtId="0" fontId="5" fillId="0" borderId="0" xfId="0" applyFont="1" applyAlignment="1">
      <alignment horizontal="right"/>
    </xf>
    <xf numFmtId="0" fontId="1" fillId="0" borderId="0" xfId="0" applyFont="1" applyAlignment="1">
      <alignment horizontal="center"/>
    </xf>
    <xf numFmtId="0" fontId="4" fillId="3" borderId="9" xfId="0" applyFont="1" applyFill="1" applyBorder="1" applyAlignment="1">
      <alignment horizontal="center" wrapText="1"/>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8"/>
  <sheetViews>
    <sheetView tabSelected="1" topLeftCell="A18" zoomScaleNormal="100" workbookViewId="0">
      <selection activeCell="C61" sqref="C61"/>
    </sheetView>
  </sheetViews>
  <sheetFormatPr defaultColWidth="13.5" defaultRowHeight="15.75" customHeight="1" x14ac:dyDescent="0.25"/>
  <cols>
    <col min="1" max="1" width="26.125" customWidth="1"/>
    <col min="2" max="2" width="23.125" customWidth="1"/>
    <col min="3" max="3" width="13.5" customWidth="1"/>
    <col min="4" max="4" width="11.5" customWidth="1"/>
    <col min="5" max="5" width="6.875" customWidth="1"/>
    <col min="6" max="6" width="12.375" customWidth="1"/>
    <col min="7" max="7" width="12.625" customWidth="1"/>
    <col min="8" max="8" width="9" customWidth="1"/>
  </cols>
  <sheetData>
    <row r="1" spans="1:8" ht="30" customHeight="1" x14ac:dyDescent="0.5">
      <c r="A1" s="81" t="s">
        <v>44</v>
      </c>
      <c r="B1" s="69"/>
      <c r="C1" s="69"/>
      <c r="D1" s="69"/>
      <c r="E1" s="69"/>
      <c r="F1" s="69"/>
      <c r="G1" s="69"/>
      <c r="H1" s="69"/>
    </row>
    <row r="2" spans="1:8" ht="15" customHeight="1" x14ac:dyDescent="0.25">
      <c r="A2" s="1" t="s">
        <v>0</v>
      </c>
      <c r="B2" s="51" t="s">
        <v>45</v>
      </c>
      <c r="D2" s="2"/>
      <c r="E2" s="2"/>
    </row>
    <row r="3" spans="1:8" ht="15" customHeight="1" x14ac:dyDescent="0.25">
      <c r="A3" s="3" t="s">
        <v>1</v>
      </c>
      <c r="B3" s="49" t="s">
        <v>46</v>
      </c>
      <c r="C3" s="4"/>
      <c r="D3" s="2"/>
      <c r="E3" s="2"/>
      <c r="F3" s="4"/>
      <c r="G3" s="4"/>
      <c r="H3" s="4"/>
    </row>
    <row r="4" spans="1:8" ht="15" customHeight="1" x14ac:dyDescent="0.25">
      <c r="A4" s="50" t="s">
        <v>48</v>
      </c>
      <c r="B4" s="49" t="s">
        <v>47</v>
      </c>
      <c r="C4" s="4"/>
      <c r="D4" s="2"/>
      <c r="E4" s="2"/>
      <c r="F4" s="4"/>
      <c r="G4" s="4"/>
      <c r="H4" s="4"/>
    </row>
    <row r="5" spans="1:8" ht="15" customHeight="1" x14ac:dyDescent="0.25">
      <c r="A5" s="3" t="s">
        <v>2</v>
      </c>
      <c r="B5" s="49" t="s">
        <v>49</v>
      </c>
      <c r="C5" s="4"/>
      <c r="D5" s="2"/>
      <c r="E5" s="2"/>
      <c r="F5" s="4"/>
      <c r="G5" s="4"/>
      <c r="H5" s="4"/>
    </row>
    <row r="6" spans="1:8" ht="15" customHeight="1" x14ac:dyDescent="0.25">
      <c r="A6" s="5"/>
      <c r="B6" s="4"/>
      <c r="C6" s="4"/>
      <c r="D6" s="2"/>
      <c r="E6" s="2"/>
      <c r="F6" s="4"/>
      <c r="G6" s="4"/>
      <c r="H6" s="4"/>
    </row>
    <row r="7" spans="1:8" ht="15" customHeight="1" x14ac:dyDescent="0.25">
      <c r="A7" s="70" t="s">
        <v>3</v>
      </c>
      <c r="B7" s="71"/>
      <c r="C7" s="71"/>
      <c r="D7" s="71"/>
      <c r="E7" s="71"/>
      <c r="F7" s="71"/>
      <c r="G7" s="71"/>
      <c r="H7" s="72"/>
    </row>
    <row r="8" spans="1:8" ht="15" customHeight="1" x14ac:dyDescent="0.25">
      <c r="A8" s="6" t="s">
        <v>4</v>
      </c>
      <c r="B8" s="7" t="s">
        <v>5</v>
      </c>
      <c r="C8" s="7" t="s">
        <v>6</v>
      </c>
      <c r="D8" s="8" t="s">
        <v>7</v>
      </c>
      <c r="E8" s="8" t="s">
        <v>8</v>
      </c>
      <c r="F8" s="9" t="s">
        <v>9</v>
      </c>
      <c r="G8" s="10" t="s">
        <v>10</v>
      </c>
      <c r="H8" s="10" t="s">
        <v>11</v>
      </c>
    </row>
    <row r="9" spans="1:8" ht="15" customHeight="1" x14ac:dyDescent="0.25">
      <c r="A9" s="11"/>
      <c r="B9" s="52" t="s">
        <v>50</v>
      </c>
      <c r="C9" s="52" t="s">
        <v>53</v>
      </c>
      <c r="D9" s="54" t="s">
        <v>51</v>
      </c>
      <c r="E9" s="13">
        <v>1</v>
      </c>
      <c r="F9">
        <v>355</v>
      </c>
      <c r="G9" s="14">
        <f>E9*F9</f>
        <v>355</v>
      </c>
      <c r="H9" s="15" t="s">
        <v>13</v>
      </c>
    </row>
    <row r="10" spans="1:8" ht="15" customHeight="1" x14ac:dyDescent="0.25">
      <c r="A10" s="11"/>
      <c r="B10" s="52" t="s">
        <v>52</v>
      </c>
      <c r="C10" s="52" t="s">
        <v>52</v>
      </c>
      <c r="D10" s="54" t="s">
        <v>57</v>
      </c>
      <c r="E10" s="13">
        <v>1</v>
      </c>
      <c r="F10">
        <v>5</v>
      </c>
      <c r="G10" s="14">
        <f>E10*F10</f>
        <v>5</v>
      </c>
      <c r="H10" s="15" t="s">
        <v>13</v>
      </c>
    </row>
    <row r="11" spans="1:8" ht="15" customHeight="1" x14ac:dyDescent="0.25">
      <c r="A11" s="17"/>
      <c r="B11" s="5"/>
      <c r="C11" s="4"/>
      <c r="D11" s="18"/>
      <c r="E11" s="2"/>
      <c r="F11" s="4"/>
      <c r="G11" s="19"/>
      <c r="H11" s="19"/>
    </row>
    <row r="12" spans="1:8" ht="15" customHeight="1" x14ac:dyDescent="0.25">
      <c r="A12" s="70" t="s">
        <v>14</v>
      </c>
      <c r="B12" s="71"/>
      <c r="C12" s="71"/>
      <c r="D12" s="71"/>
      <c r="E12" s="71"/>
      <c r="F12" s="71"/>
      <c r="G12" s="71"/>
      <c r="H12" s="72"/>
    </row>
    <row r="13" spans="1:8" ht="15" customHeight="1" x14ac:dyDescent="0.25">
      <c r="A13" s="20" t="s">
        <v>17</v>
      </c>
      <c r="B13" s="7" t="s">
        <v>5</v>
      </c>
      <c r="C13" s="7" t="s">
        <v>6</v>
      </c>
      <c r="D13" s="8" t="s">
        <v>7</v>
      </c>
      <c r="E13" s="8" t="s">
        <v>8</v>
      </c>
      <c r="F13" s="9" t="s">
        <v>9</v>
      </c>
      <c r="G13" s="28" t="s">
        <v>10</v>
      </c>
      <c r="H13" s="28" t="s">
        <v>11</v>
      </c>
    </row>
    <row r="14" spans="1:8" ht="15" customHeight="1" x14ac:dyDescent="0.25">
      <c r="A14" s="11"/>
      <c r="B14" s="52" t="s">
        <v>50</v>
      </c>
      <c r="C14" s="52" t="s">
        <v>53</v>
      </c>
      <c r="D14" s="54" t="s">
        <v>51</v>
      </c>
      <c r="E14" s="13">
        <v>1</v>
      </c>
      <c r="F14">
        <v>355</v>
      </c>
      <c r="G14" s="14">
        <f>E14*F14</f>
        <v>355</v>
      </c>
      <c r="H14" s="15" t="s">
        <v>13</v>
      </c>
    </row>
    <row r="15" spans="1:8" ht="15" customHeight="1" x14ac:dyDescent="0.25">
      <c r="A15" s="11"/>
      <c r="B15" s="52" t="s">
        <v>52</v>
      </c>
      <c r="C15" s="52" t="s">
        <v>52</v>
      </c>
      <c r="D15" s="54" t="s">
        <v>57</v>
      </c>
      <c r="E15" s="13">
        <v>1</v>
      </c>
      <c r="F15">
        <v>5</v>
      </c>
      <c r="G15" s="14">
        <f>E15*F15</f>
        <v>5</v>
      </c>
      <c r="H15" s="15" t="s">
        <v>13</v>
      </c>
    </row>
    <row r="16" spans="1:8" ht="15" customHeight="1" x14ac:dyDescent="0.25">
      <c r="A16" s="11"/>
      <c r="D16" s="13"/>
      <c r="E16" s="13"/>
      <c r="G16" s="14">
        <f t="shared" ref="G16:G17" si="0">E16*F16</f>
        <v>0</v>
      </c>
      <c r="H16" s="15" t="s">
        <v>13</v>
      </c>
    </row>
    <row r="17" spans="1:8" ht="15" customHeight="1" x14ac:dyDescent="0.25">
      <c r="A17" s="11"/>
      <c r="D17" s="13"/>
      <c r="E17" s="13"/>
      <c r="G17" s="14">
        <f t="shared" si="0"/>
        <v>0</v>
      </c>
      <c r="H17" s="15" t="s">
        <v>13</v>
      </c>
    </row>
    <row r="18" spans="1:8" ht="15" customHeight="1" x14ac:dyDescent="0.25">
      <c r="A18" s="11"/>
      <c r="B18" s="79" t="s">
        <v>15</v>
      </c>
      <c r="C18" s="69"/>
      <c r="D18" s="69"/>
      <c r="E18" s="69"/>
      <c r="F18" s="69"/>
      <c r="G18" s="14">
        <f>SUM(G13:G17)</f>
        <v>360</v>
      </c>
      <c r="H18" s="15" t="s">
        <v>13</v>
      </c>
    </row>
    <row r="19" spans="1:8" ht="15" customHeight="1" x14ac:dyDescent="0.25">
      <c r="A19" s="11"/>
      <c r="B19" s="79" t="s">
        <v>16</v>
      </c>
      <c r="C19" s="69"/>
      <c r="D19" s="69"/>
      <c r="E19" s="69"/>
      <c r="F19" s="69"/>
      <c r="G19" s="22">
        <v>0.25</v>
      </c>
      <c r="H19" s="22"/>
    </row>
    <row r="20" spans="1:8" ht="15" customHeight="1" x14ac:dyDescent="0.25">
      <c r="A20" s="11"/>
      <c r="B20" s="80" t="s">
        <v>18</v>
      </c>
      <c r="C20" s="69"/>
      <c r="D20" s="69"/>
      <c r="E20" s="69"/>
      <c r="F20" s="69"/>
      <c r="G20" s="14">
        <f>G18*(1+G19)</f>
        <v>450</v>
      </c>
      <c r="H20" s="15" t="s">
        <v>13</v>
      </c>
    </row>
    <row r="21" spans="1:8" ht="15" customHeight="1" x14ac:dyDescent="0.25">
      <c r="A21" s="23"/>
      <c r="B21" s="16"/>
      <c r="D21" s="12"/>
      <c r="E21" s="13"/>
      <c r="G21" s="14"/>
      <c r="H21" s="19"/>
    </row>
    <row r="22" spans="1:8" ht="15" customHeight="1" x14ac:dyDescent="0.25">
      <c r="A22" s="23" t="s">
        <v>19</v>
      </c>
      <c r="B22" s="52" t="s">
        <v>54</v>
      </c>
      <c r="C22" s="55" t="s">
        <v>55</v>
      </c>
      <c r="D22" s="54" t="s">
        <v>56</v>
      </c>
      <c r="E22" s="13">
        <v>1</v>
      </c>
      <c r="F22">
        <v>1000</v>
      </c>
      <c r="G22" s="14">
        <f t="shared" ref="G22" si="1">E22*F22</f>
        <v>1000</v>
      </c>
      <c r="H22" s="15" t="s">
        <v>13</v>
      </c>
    </row>
    <row r="23" spans="1:8" ht="15" customHeight="1" x14ac:dyDescent="0.25">
      <c r="A23" s="11"/>
      <c r="B23" s="74" t="s">
        <v>20</v>
      </c>
      <c r="C23" s="69"/>
      <c r="D23" s="69"/>
      <c r="E23" s="69"/>
      <c r="F23" s="69"/>
      <c r="G23" s="26">
        <f>G22-G20</f>
        <v>550</v>
      </c>
      <c r="H23" s="15" t="s">
        <v>13</v>
      </c>
    </row>
    <row r="24" spans="1:8" ht="15" customHeight="1" x14ac:dyDescent="0.25">
      <c r="A24" s="30"/>
      <c r="B24" s="31"/>
      <c r="C24" s="31"/>
      <c r="D24" s="31"/>
      <c r="E24" s="31"/>
      <c r="F24" s="31"/>
      <c r="G24" s="32"/>
      <c r="H24" s="33"/>
    </row>
    <row r="25" spans="1:8" ht="15" customHeight="1" x14ac:dyDescent="0.25">
      <c r="A25" s="70" t="s">
        <v>21</v>
      </c>
      <c r="B25" s="71"/>
      <c r="C25" s="71"/>
      <c r="D25" s="71"/>
      <c r="E25" s="71"/>
      <c r="F25" s="71"/>
      <c r="G25" s="71"/>
      <c r="H25" s="72"/>
    </row>
    <row r="26" spans="1:8" ht="15" customHeight="1" x14ac:dyDescent="0.25">
      <c r="A26" s="64"/>
      <c r="B26" s="65"/>
      <c r="C26" s="65"/>
      <c r="D26" s="65"/>
      <c r="E26" s="65"/>
      <c r="F26" s="65"/>
      <c r="G26" s="65"/>
      <c r="H26" s="66"/>
    </row>
    <row r="27" spans="1:8" ht="15" customHeight="1" x14ac:dyDescent="0.25">
      <c r="A27" s="70" t="s">
        <v>22</v>
      </c>
      <c r="B27" s="71"/>
      <c r="C27" s="71"/>
      <c r="D27" s="71"/>
      <c r="E27" s="71"/>
      <c r="F27" s="71"/>
      <c r="G27" s="71"/>
      <c r="H27" s="72"/>
    </row>
    <row r="28" spans="1:8" ht="15" customHeight="1" x14ac:dyDescent="0.25">
      <c r="A28" s="20" t="s">
        <v>23</v>
      </c>
      <c r="B28" s="7" t="s">
        <v>5</v>
      </c>
      <c r="C28" s="7" t="s">
        <v>6</v>
      </c>
      <c r="D28" s="8" t="s">
        <v>7</v>
      </c>
      <c r="E28" s="34" t="s">
        <v>24</v>
      </c>
      <c r="F28" s="9" t="s">
        <v>9</v>
      </c>
      <c r="G28" s="28" t="s">
        <v>10</v>
      </c>
      <c r="H28" s="28" t="s">
        <v>11</v>
      </c>
    </row>
    <row r="29" spans="1:8" ht="15" customHeight="1" x14ac:dyDescent="0.25">
      <c r="A29" s="35" t="s">
        <v>25</v>
      </c>
      <c r="B29" s="57" t="s">
        <v>26</v>
      </c>
      <c r="C29" s="60" t="s">
        <v>65</v>
      </c>
      <c r="D29" s="54" t="s">
        <v>64</v>
      </c>
      <c r="E29" s="54" t="s">
        <v>32</v>
      </c>
      <c r="F29" s="59">
        <v>1000</v>
      </c>
      <c r="G29" s="36">
        <v>1000</v>
      </c>
      <c r="H29" s="37" t="s">
        <v>13</v>
      </c>
    </row>
    <row r="30" spans="1:8" ht="15" customHeight="1" x14ac:dyDescent="0.25">
      <c r="A30" s="38"/>
      <c r="B30" s="24"/>
      <c r="C30" s="24"/>
      <c r="D30" s="12"/>
      <c r="E30" s="12"/>
      <c r="F30" s="25"/>
      <c r="G30" s="26"/>
      <c r="H30" s="39"/>
    </row>
    <row r="31" spans="1:8" ht="15" customHeight="1" x14ac:dyDescent="0.25">
      <c r="A31" s="61" t="s">
        <v>27</v>
      </c>
      <c r="B31" s="52" t="s">
        <v>54</v>
      </c>
      <c r="C31" s="55" t="s">
        <v>55</v>
      </c>
      <c r="D31" s="54" t="s">
        <v>56</v>
      </c>
      <c r="E31" s="13">
        <v>1</v>
      </c>
      <c r="F31">
        <v>1000</v>
      </c>
      <c r="G31" s="14">
        <f t="shared" ref="G31" si="2">E31*F31</f>
        <v>1000</v>
      </c>
      <c r="H31" s="15" t="s">
        <v>13</v>
      </c>
    </row>
    <row r="32" spans="1:8" ht="15" customHeight="1" x14ac:dyDescent="0.25">
      <c r="A32" s="73"/>
      <c r="B32" s="24"/>
      <c r="C32" s="24"/>
      <c r="D32" s="12"/>
      <c r="E32" s="12"/>
      <c r="F32" s="25"/>
      <c r="G32" s="26"/>
      <c r="H32" s="15"/>
    </row>
    <row r="33" spans="1:8" ht="15" customHeight="1" x14ac:dyDescent="0.25">
      <c r="A33" s="73"/>
      <c r="B33" s="16"/>
      <c r="D33" s="12"/>
      <c r="E33" s="13"/>
      <c r="G33" s="14"/>
      <c r="H33" s="15"/>
    </row>
    <row r="34" spans="1:8" ht="15" customHeight="1" x14ac:dyDescent="0.25">
      <c r="A34" s="38"/>
      <c r="B34" s="74" t="s">
        <v>28</v>
      </c>
      <c r="C34" s="69"/>
      <c r="D34" s="69"/>
      <c r="E34" s="69"/>
      <c r="F34" s="69"/>
      <c r="G34" s="36">
        <f>G29-SUM(G31:G33)</f>
        <v>0</v>
      </c>
      <c r="H34" s="37" t="s">
        <v>13</v>
      </c>
    </row>
    <row r="35" spans="1:8" ht="15" customHeight="1" x14ac:dyDescent="0.25">
      <c r="A35" s="38"/>
      <c r="B35" s="2"/>
      <c r="C35" s="2"/>
      <c r="D35" s="18"/>
      <c r="E35" s="18"/>
      <c r="F35" s="18"/>
      <c r="G35" s="40"/>
      <c r="H35" s="41"/>
    </row>
    <row r="36" spans="1:8" ht="15" customHeight="1" x14ac:dyDescent="0.25">
      <c r="A36" s="56" t="s">
        <v>29</v>
      </c>
      <c r="B36" s="7" t="s">
        <v>5</v>
      </c>
      <c r="C36" s="7" t="s">
        <v>6</v>
      </c>
      <c r="D36" s="8" t="s">
        <v>7</v>
      </c>
      <c r="E36" s="34" t="s">
        <v>24</v>
      </c>
      <c r="F36" s="9" t="s">
        <v>9</v>
      </c>
      <c r="G36" s="28" t="s">
        <v>10</v>
      </c>
      <c r="H36" s="28" t="s">
        <v>11</v>
      </c>
    </row>
    <row r="37" spans="1:8" ht="15" customHeight="1" x14ac:dyDescent="0.25">
      <c r="A37" s="35" t="s">
        <v>30</v>
      </c>
      <c r="B37" s="57" t="s">
        <v>62</v>
      </c>
      <c r="C37" s="12" t="s">
        <v>12</v>
      </c>
      <c r="D37" s="54" t="s">
        <v>38</v>
      </c>
      <c r="E37" s="58" t="s">
        <v>63</v>
      </c>
      <c r="F37" s="59">
        <v>3000</v>
      </c>
      <c r="G37" s="36">
        <v>3000</v>
      </c>
      <c r="H37" s="37" t="s">
        <v>13</v>
      </c>
    </row>
    <row r="38" spans="1:8" ht="15" customHeight="1" x14ac:dyDescent="0.25">
      <c r="A38" s="38"/>
      <c r="B38" s="24"/>
      <c r="C38" s="24"/>
      <c r="D38" s="12"/>
      <c r="E38" s="12"/>
      <c r="F38" s="25"/>
      <c r="G38" s="26"/>
      <c r="H38" s="39"/>
    </row>
    <row r="39" spans="1:8" ht="15" customHeight="1" x14ac:dyDescent="0.25">
      <c r="A39" s="61" t="s">
        <v>33</v>
      </c>
      <c r="B39" s="52" t="s">
        <v>54</v>
      </c>
      <c r="C39" s="55" t="s">
        <v>55</v>
      </c>
      <c r="D39" s="54" t="s">
        <v>56</v>
      </c>
      <c r="E39" s="13">
        <v>1</v>
      </c>
      <c r="F39">
        <v>1000</v>
      </c>
      <c r="G39" s="14">
        <f t="shared" ref="G39" si="3">E39*F39</f>
        <v>1000</v>
      </c>
      <c r="H39" s="15" t="s">
        <v>13</v>
      </c>
    </row>
    <row r="40" spans="1:8" ht="15" customHeight="1" x14ac:dyDescent="0.25">
      <c r="A40" s="73"/>
      <c r="B40" s="24"/>
      <c r="C40" s="24"/>
      <c r="D40" s="12"/>
      <c r="E40" s="12"/>
      <c r="F40" s="25"/>
      <c r="G40" s="26"/>
      <c r="H40" s="15"/>
    </row>
    <row r="41" spans="1:8" ht="15" customHeight="1" x14ac:dyDescent="0.25">
      <c r="A41" s="73"/>
      <c r="B41" s="16"/>
      <c r="D41" s="12"/>
      <c r="E41" s="13"/>
      <c r="G41" s="14"/>
      <c r="H41" s="15"/>
    </row>
    <row r="42" spans="1:8" ht="15" customHeight="1" x14ac:dyDescent="0.25">
      <c r="A42" s="38"/>
      <c r="B42" s="74" t="s">
        <v>34</v>
      </c>
      <c r="C42" s="69"/>
      <c r="D42" s="69"/>
      <c r="E42" s="69"/>
      <c r="F42" s="69"/>
      <c r="G42" s="36">
        <f>G37-SUM(G39:G41)</f>
        <v>2000</v>
      </c>
      <c r="H42" s="37" t="s">
        <v>13</v>
      </c>
    </row>
    <row r="43" spans="1:8" ht="15" customHeight="1" x14ac:dyDescent="0.25">
      <c r="A43" s="38"/>
      <c r="B43" s="29"/>
      <c r="G43" s="36"/>
      <c r="H43" s="37"/>
    </row>
    <row r="44" spans="1:8" ht="15" customHeight="1" x14ac:dyDescent="0.25">
      <c r="A44" s="56" t="s">
        <v>29</v>
      </c>
      <c r="B44" s="7" t="s">
        <v>5</v>
      </c>
      <c r="C44" s="7" t="s">
        <v>6</v>
      </c>
      <c r="D44" s="8" t="s">
        <v>7</v>
      </c>
      <c r="E44" s="34" t="s">
        <v>24</v>
      </c>
      <c r="F44" s="9" t="s">
        <v>9</v>
      </c>
      <c r="G44" s="28" t="s">
        <v>10</v>
      </c>
      <c r="H44" s="28" t="s">
        <v>11</v>
      </c>
    </row>
    <row r="45" spans="1:8" ht="15" customHeight="1" x14ac:dyDescent="0.25">
      <c r="A45" s="35" t="s">
        <v>30</v>
      </c>
      <c r="B45" s="57" t="s">
        <v>58</v>
      </c>
      <c r="C45" s="57" t="s">
        <v>59</v>
      </c>
      <c r="D45" s="54" t="s">
        <v>60</v>
      </c>
      <c r="E45" s="58" t="s">
        <v>61</v>
      </c>
      <c r="F45" s="25">
        <v>1800</v>
      </c>
      <c r="G45" s="36">
        <v>1800</v>
      </c>
      <c r="H45" s="37" t="s">
        <v>13</v>
      </c>
    </row>
    <row r="46" spans="1:8" ht="15" customHeight="1" x14ac:dyDescent="0.25">
      <c r="A46" s="38"/>
      <c r="B46" s="24"/>
      <c r="C46" s="24"/>
      <c r="D46" s="12"/>
      <c r="E46" s="12"/>
      <c r="F46" s="25"/>
      <c r="G46" s="26"/>
      <c r="H46" s="39"/>
    </row>
    <row r="47" spans="1:8" ht="15" customHeight="1" x14ac:dyDescent="0.25">
      <c r="A47" s="61" t="s">
        <v>33</v>
      </c>
      <c r="B47" s="52" t="s">
        <v>54</v>
      </c>
      <c r="C47" s="55" t="s">
        <v>55</v>
      </c>
      <c r="D47" s="54" t="s">
        <v>56</v>
      </c>
      <c r="E47" s="13">
        <v>1</v>
      </c>
      <c r="F47">
        <v>1000</v>
      </c>
      <c r="G47" s="14">
        <f t="shared" ref="G47" si="4">E47*F47</f>
        <v>1000</v>
      </c>
      <c r="H47" s="15" t="s">
        <v>13</v>
      </c>
    </row>
    <row r="48" spans="1:8" ht="15" customHeight="1" x14ac:dyDescent="0.25">
      <c r="A48" s="61"/>
      <c r="B48" s="24"/>
      <c r="C48" s="24"/>
      <c r="D48" s="12"/>
      <c r="E48" s="12"/>
      <c r="F48" s="25"/>
      <c r="G48" s="26"/>
      <c r="H48" s="15"/>
    </row>
    <row r="49" spans="1:8" ht="15" customHeight="1" x14ac:dyDescent="0.25">
      <c r="A49" s="61"/>
      <c r="B49" s="16"/>
      <c r="D49" s="12"/>
      <c r="E49" s="13"/>
      <c r="G49" s="14"/>
      <c r="H49" s="15"/>
    </row>
    <row r="50" spans="1:8" ht="15" customHeight="1" x14ac:dyDescent="0.25">
      <c r="A50" s="38"/>
      <c r="B50" s="62" t="s">
        <v>34</v>
      </c>
      <c r="C50" s="62"/>
      <c r="D50" s="62"/>
      <c r="E50" s="62"/>
      <c r="F50" s="63"/>
      <c r="G50" s="36">
        <f>G45-SUM(G47:G49)</f>
        <v>800</v>
      </c>
      <c r="H50" s="37" t="s">
        <v>13</v>
      </c>
    </row>
    <row r="51" spans="1:8" ht="15" customHeight="1" x14ac:dyDescent="0.25">
      <c r="A51" s="38"/>
      <c r="B51" s="27"/>
      <c r="C51" s="27"/>
      <c r="D51" s="27"/>
      <c r="E51" s="27"/>
      <c r="F51" s="53"/>
      <c r="G51" s="36"/>
      <c r="H51" s="37"/>
    </row>
    <row r="52" spans="1:8" ht="15" customHeight="1" x14ac:dyDescent="0.25">
      <c r="A52" s="75" t="s">
        <v>35</v>
      </c>
      <c r="B52" s="76"/>
      <c r="C52" s="76"/>
      <c r="D52" s="76"/>
      <c r="E52" s="76"/>
      <c r="F52" s="77"/>
      <c r="G52" s="42"/>
      <c r="H52" s="42"/>
    </row>
    <row r="53" spans="1:8" ht="15" customHeight="1" x14ac:dyDescent="0.25">
      <c r="A53" s="43"/>
      <c r="B53" s="44" t="s">
        <v>5</v>
      </c>
      <c r="C53" s="44" t="s">
        <v>6</v>
      </c>
      <c r="D53" s="45" t="s">
        <v>7</v>
      </c>
      <c r="E53" s="45"/>
      <c r="F53" s="46" t="s">
        <v>36</v>
      </c>
      <c r="G53" s="82" t="s">
        <v>37</v>
      </c>
      <c r="H53" s="47"/>
    </row>
    <row r="54" spans="1:8" ht="15" customHeight="1" x14ac:dyDescent="0.25">
      <c r="A54" s="11"/>
      <c r="B54" t="s">
        <v>31</v>
      </c>
      <c r="C54" t="s">
        <v>12</v>
      </c>
      <c r="D54" s="12" t="s">
        <v>38</v>
      </c>
      <c r="E54" s="13"/>
      <c r="F54" s="16">
        <v>3000</v>
      </c>
      <c r="G54" s="14">
        <f>3*SUM(G39:G41)</f>
        <v>3000</v>
      </c>
      <c r="H54" s="14"/>
    </row>
    <row r="55" spans="1:8" ht="15" customHeight="1" x14ac:dyDescent="0.25">
      <c r="A55" s="11"/>
      <c r="D55" s="13"/>
      <c r="E55" s="13"/>
      <c r="F55" s="21" t="s">
        <v>39</v>
      </c>
      <c r="G55" s="14">
        <f>F54/G54</f>
        <v>1</v>
      </c>
      <c r="H55" s="15" t="s">
        <v>40</v>
      </c>
    </row>
    <row r="56" spans="1:8" ht="15" customHeight="1" x14ac:dyDescent="0.25">
      <c r="A56" s="78" t="s">
        <v>41</v>
      </c>
      <c r="B56" s="78"/>
      <c r="C56" s="78"/>
      <c r="D56" s="78"/>
      <c r="E56" s="78"/>
      <c r="F56" s="78"/>
      <c r="G56" s="48"/>
      <c r="H56" s="48"/>
    </row>
    <row r="57" spans="1:8" ht="15" customHeight="1" x14ac:dyDescent="0.25">
      <c r="A57" s="67" t="s">
        <v>42</v>
      </c>
      <c r="B57" s="67"/>
      <c r="C57" s="67"/>
      <c r="D57" s="67"/>
      <c r="E57" s="67"/>
      <c r="F57" s="67"/>
      <c r="G57" s="67"/>
      <c r="H57" s="67"/>
    </row>
    <row r="58" spans="1:8" ht="15" customHeight="1" x14ac:dyDescent="0.25">
      <c r="A58" s="68" t="s">
        <v>43</v>
      </c>
      <c r="B58" s="69"/>
      <c r="C58" s="69"/>
      <c r="D58" s="69"/>
      <c r="E58" s="69"/>
      <c r="F58" s="69"/>
      <c r="G58" s="69"/>
      <c r="H58" s="69"/>
    </row>
  </sheetData>
  <mergeCells count="20">
    <mergeCell ref="A1:H1"/>
    <mergeCell ref="A7:H7"/>
    <mergeCell ref="A12:H12"/>
    <mergeCell ref="B18:F18"/>
    <mergeCell ref="B19:F19"/>
    <mergeCell ref="B20:F20"/>
    <mergeCell ref="B23:F23"/>
    <mergeCell ref="A25:H25"/>
    <mergeCell ref="A47:A49"/>
    <mergeCell ref="B50:F50"/>
    <mergeCell ref="A26:H26"/>
    <mergeCell ref="A57:H57"/>
    <mergeCell ref="A58:H58"/>
    <mergeCell ref="A27:H27"/>
    <mergeCell ref="A31:A33"/>
    <mergeCell ref="B34:F34"/>
    <mergeCell ref="A39:A41"/>
    <mergeCell ref="B42:F42"/>
    <mergeCell ref="A52:F52"/>
    <mergeCell ref="A56:F56"/>
  </mergeCells>
  <conditionalFormatting sqref="G23">
    <cfRule type="cellIs" dxfId="0" priority="1" operator="lessThan">
      <formula>0</formula>
    </cfRule>
  </conditionalFormatting>
  <pageMargins left="0.7" right="0.7" top="0.75" bottom="0.75" header="0.3" footer="0.3"/>
  <pageSetup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Hafsa Kaysan (Student)</cp:lastModifiedBy>
  <cp:lastPrinted>2026-03-06T19:24:32Z</cp:lastPrinted>
  <dcterms:modified xsi:type="dcterms:W3CDTF">2026-03-06T21:41:53Z</dcterms:modified>
</cp:coreProperties>
</file>